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30"/>
  <workbookPr defaultThemeVersion="166925"/>
  <xr:revisionPtr revIDLastSave="128" documentId="11_E60897F41BE170836B02CE998F75CCDC64E183C8" xr6:coauthVersionLast="47" xr6:coauthVersionMax="47" xr10:uidLastSave="{72E8B88D-97A2-4E73-8D58-0F6E08637439}"/>
  <bookViews>
    <workbookView xWindow="240" yWindow="105" windowWidth="14805" windowHeight="8010" xr2:uid="{00000000-000D-0000-FFFF-FFFF00000000}"/>
  </bookViews>
  <sheets>
    <sheet name="Data " sheetId="1" r:id="rId1"/>
    <sheet name="Data 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F65" i="1"/>
  <c r="D65" i="1"/>
  <c r="D64" i="1"/>
</calcChain>
</file>

<file path=xl/sharedStrings.xml><?xml version="1.0" encoding="utf-8"?>
<sst xmlns="http://schemas.openxmlformats.org/spreadsheetml/2006/main" count="306" uniqueCount="72">
  <si>
    <t>US Images</t>
  </si>
  <si>
    <t>Study_ID</t>
  </si>
  <si>
    <t>Sex</t>
  </si>
  <si>
    <t>GA_birth</t>
  </si>
  <si>
    <t>Date_of_Measurement</t>
  </si>
  <si>
    <t>PMA_studyvisit</t>
  </si>
  <si>
    <t>Weight_visit</t>
  </si>
  <si>
    <t>Length_visit</t>
  </si>
  <si>
    <t>PerFM</t>
  </si>
  <si>
    <t>PerFFM</t>
  </si>
  <si>
    <t>FM</t>
  </si>
  <si>
    <t>FFM</t>
  </si>
  <si>
    <t>PMA_discharge</t>
  </si>
  <si>
    <t>PMA_POstart</t>
  </si>
  <si>
    <t>Race</t>
  </si>
  <si>
    <t>Siblings</t>
  </si>
  <si>
    <t>APGAR_1</t>
  </si>
  <si>
    <t>APGAR_5</t>
  </si>
  <si>
    <t>APGAR_10</t>
  </si>
  <si>
    <t>Birth_length</t>
  </si>
  <si>
    <t>Birth_wt</t>
  </si>
  <si>
    <t>Birth_OFC</t>
  </si>
  <si>
    <t>Discharge_length</t>
  </si>
  <si>
    <t>Discharge_wt</t>
  </si>
  <si>
    <t>DIscharge_OFC</t>
  </si>
  <si>
    <t>PDA</t>
  </si>
  <si>
    <t>IVH</t>
  </si>
  <si>
    <t>IVH_Grade</t>
  </si>
  <si>
    <t>Matage</t>
  </si>
  <si>
    <t>x</t>
  </si>
  <si>
    <t>F</t>
  </si>
  <si>
    <t>White</t>
  </si>
  <si>
    <t>Twin A</t>
  </si>
  <si>
    <t>M</t>
  </si>
  <si>
    <t>Twin B</t>
  </si>
  <si>
    <t>Other</t>
  </si>
  <si>
    <t>Triplet A</t>
  </si>
  <si>
    <t>Triplet B</t>
  </si>
  <si>
    <t>Black</t>
  </si>
  <si>
    <t>Triplet C</t>
  </si>
  <si>
    <t>DATA DICTIONARY</t>
  </si>
  <si>
    <t>Description</t>
  </si>
  <si>
    <t>Study ID</t>
  </si>
  <si>
    <t>ID of participant</t>
  </si>
  <si>
    <t>M = male, F= female</t>
  </si>
  <si>
    <t>gestational age at birth in weeks</t>
  </si>
  <si>
    <t>Date_of_measurement</t>
  </si>
  <si>
    <t>Date of study visit</t>
  </si>
  <si>
    <t>Postmenstrual age in weeks at study visit</t>
  </si>
  <si>
    <t>Weight in kg at study visit</t>
  </si>
  <si>
    <t>Length in cm at study visit</t>
  </si>
  <si>
    <t>Pea Pod percent body fat</t>
  </si>
  <si>
    <t>Pea Pod percent fat-free mass</t>
  </si>
  <si>
    <t>Pea Pod fat mass (kg)</t>
  </si>
  <si>
    <t>Pea Pod fat-free mass (kg)</t>
  </si>
  <si>
    <t>Postmenstrual age in weeks at discharge</t>
  </si>
  <si>
    <t>Postmenstrual age at start of PO feeds</t>
  </si>
  <si>
    <t>White, Black, or Other</t>
  </si>
  <si>
    <t>Marked twins or triplets if sibs in study</t>
  </si>
  <si>
    <t>APGAR score at 1 minute</t>
  </si>
  <si>
    <t>APGAR score at 5 minutes</t>
  </si>
  <si>
    <t>APGAR scores at 10 minutes</t>
  </si>
  <si>
    <t>Birth length in cm</t>
  </si>
  <si>
    <t>Birth weight in kg</t>
  </si>
  <si>
    <t>Birth OFC in cm</t>
  </si>
  <si>
    <t>Discharge length in cm</t>
  </si>
  <si>
    <t>Discharge weight in cm</t>
  </si>
  <si>
    <t>Discharge OFC in cm</t>
  </si>
  <si>
    <t>PDA (yes/no)</t>
  </si>
  <si>
    <t>IVH (yes/no)</t>
  </si>
  <si>
    <t>IVH grade if yes</t>
  </si>
  <si>
    <t>Maternal age in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</si>
</sst>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workbookViewId="0">
      <pane ySplit="1" topLeftCell="A2" activePane="bottomLeft" state="frozen"/>
      <selection pane="bottomLeft" activeCell="P46" sqref="P46"/>
    </sheetView>
  </sheetViews>
  <sheetFormatPr defaultRowHeight="15"/>
  <cols>
    <col min="1" max="1" width="12" customWidth="1"/>
    <col min="2" max="2" width="9.85546875" bestFit="1" customWidth="1"/>
    <col min="4" max="4" width="13.140625" customWidth="1"/>
    <col min="5" max="6" width="21.85546875" customWidth="1"/>
    <col min="13" max="13" width="14.85546875" customWidth="1"/>
    <col min="14" max="14" width="19.28515625" customWidth="1"/>
    <col min="19" max="19" width="10.7109375" customWidth="1"/>
    <col min="20" max="20" width="12.140625" customWidth="1"/>
    <col min="22" max="22" width="11.140625" customWidth="1"/>
    <col min="23" max="23" width="15.5703125" customWidth="1"/>
    <col min="24" max="24" width="14.42578125" customWidth="1"/>
    <col min="25" max="25" width="17.28515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1111517</v>
      </c>
      <c r="C2" t="s">
        <v>30</v>
      </c>
      <c r="D2">
        <v>34.700000000000003</v>
      </c>
      <c r="E2" s="1">
        <v>43054</v>
      </c>
      <c r="F2">
        <v>36.700000000000003</v>
      </c>
      <c r="G2">
        <v>2.0230999999999999</v>
      </c>
      <c r="H2">
        <v>45.1</v>
      </c>
      <c r="I2">
        <v>6.7</v>
      </c>
      <c r="J2">
        <v>93.3</v>
      </c>
      <c r="K2">
        <v>0.14660000000000001</v>
      </c>
      <c r="L2">
        <v>2.0565000000000002</v>
      </c>
      <c r="M2" s="2">
        <v>38.130000000000003</v>
      </c>
      <c r="N2" s="2">
        <v>34.700000000000003</v>
      </c>
      <c r="O2" t="s">
        <v>31</v>
      </c>
      <c r="P2" t="s">
        <v>32</v>
      </c>
    </row>
    <row r="3" spans="1:29">
      <c r="A3" t="s">
        <v>29</v>
      </c>
      <c r="B3">
        <v>2111617</v>
      </c>
      <c r="C3" t="s">
        <v>33</v>
      </c>
      <c r="D3">
        <v>34.700000000000003</v>
      </c>
      <c r="E3" s="1">
        <v>43055</v>
      </c>
      <c r="F3">
        <v>36.9</v>
      </c>
      <c r="G3">
        <v>2.1543999999999999</v>
      </c>
      <c r="H3">
        <v>47.5</v>
      </c>
      <c r="I3">
        <v>7.7</v>
      </c>
      <c r="J3">
        <v>92.3</v>
      </c>
      <c r="K3">
        <v>0.1653</v>
      </c>
      <c r="L3">
        <v>1.9892000000000001</v>
      </c>
      <c r="M3" s="2">
        <v>37.56</v>
      </c>
      <c r="N3" s="2">
        <v>34.700000000000003</v>
      </c>
      <c r="O3" t="s">
        <v>31</v>
      </c>
      <c r="P3" t="s">
        <v>34</v>
      </c>
    </row>
    <row r="4" spans="1:29">
      <c r="A4" t="s">
        <v>29</v>
      </c>
      <c r="B4">
        <v>3120117</v>
      </c>
      <c r="C4" t="s">
        <v>30</v>
      </c>
      <c r="D4">
        <v>31.6</v>
      </c>
      <c r="E4" s="1">
        <v>43070</v>
      </c>
      <c r="F4">
        <v>33.700000000000003</v>
      </c>
      <c r="G4">
        <v>1.6597999999999999</v>
      </c>
      <c r="H4">
        <v>42</v>
      </c>
      <c r="I4">
        <v>5</v>
      </c>
      <c r="J4">
        <v>95</v>
      </c>
      <c r="K4">
        <v>8.3199999999999996E-2</v>
      </c>
      <c r="L4">
        <v>1.5766</v>
      </c>
      <c r="M4" s="2">
        <v>39.89</v>
      </c>
      <c r="N4" s="2">
        <v>33.46</v>
      </c>
      <c r="O4" t="s">
        <v>31</v>
      </c>
      <c r="P4" t="s">
        <v>32</v>
      </c>
    </row>
    <row r="5" spans="1:29">
      <c r="A5" t="s">
        <v>29</v>
      </c>
      <c r="B5">
        <v>4120117</v>
      </c>
      <c r="C5" t="s">
        <v>30</v>
      </c>
      <c r="D5">
        <v>31.6</v>
      </c>
      <c r="E5" s="1">
        <v>43070</v>
      </c>
      <c r="F5">
        <v>33.700000000000003</v>
      </c>
      <c r="G5">
        <v>1.7811999999999999</v>
      </c>
      <c r="H5">
        <v>42.9</v>
      </c>
      <c r="I5">
        <v>8.3000000000000007</v>
      </c>
      <c r="J5">
        <v>91.7</v>
      </c>
      <c r="K5">
        <v>0.1474</v>
      </c>
      <c r="L5">
        <v>1.6337999999999999</v>
      </c>
      <c r="M5" s="2">
        <v>39.17</v>
      </c>
      <c r="N5" s="2">
        <v>33.74</v>
      </c>
      <c r="O5" t="s">
        <v>31</v>
      </c>
      <c r="P5" t="s">
        <v>34</v>
      </c>
    </row>
    <row r="6" spans="1:29">
      <c r="A6" t="s">
        <v>29</v>
      </c>
      <c r="B6">
        <v>5120817</v>
      </c>
      <c r="C6" t="s">
        <v>33</v>
      </c>
      <c r="D6">
        <v>32.4</v>
      </c>
      <c r="E6" s="1">
        <v>43077</v>
      </c>
      <c r="F6">
        <v>33.9</v>
      </c>
      <c r="G6">
        <v>1.5575000000000001</v>
      </c>
      <c r="H6">
        <v>39.799999999999997</v>
      </c>
      <c r="I6">
        <v>3.5</v>
      </c>
      <c r="J6">
        <v>96.5</v>
      </c>
      <c r="K6">
        <v>5.4100000000000002E-2</v>
      </c>
      <c r="L6">
        <v>1.5033000000000001</v>
      </c>
      <c r="M6" s="2">
        <v>37.83</v>
      </c>
      <c r="N6" s="2">
        <v>35.4</v>
      </c>
      <c r="O6" t="s">
        <v>35</v>
      </c>
    </row>
    <row r="7" spans="1:29">
      <c r="A7" t="s">
        <v>29</v>
      </c>
      <c r="B7">
        <v>6121817</v>
      </c>
      <c r="C7" t="s">
        <v>33</v>
      </c>
      <c r="D7">
        <v>33.9</v>
      </c>
      <c r="E7" s="1">
        <v>43087</v>
      </c>
      <c r="F7">
        <v>35.299999999999997</v>
      </c>
      <c r="G7">
        <v>1.9489000000000001</v>
      </c>
      <c r="H7">
        <v>44.9</v>
      </c>
      <c r="I7">
        <v>1.7</v>
      </c>
      <c r="J7">
        <v>98.3</v>
      </c>
      <c r="K7">
        <v>3.8899999999999997E-2</v>
      </c>
      <c r="L7">
        <v>1.915</v>
      </c>
      <c r="M7" s="2">
        <v>38.33</v>
      </c>
      <c r="N7" s="2">
        <v>34.9</v>
      </c>
      <c r="O7" t="s">
        <v>31</v>
      </c>
      <c r="P7" t="s">
        <v>32</v>
      </c>
    </row>
    <row r="8" spans="1:29">
      <c r="A8" t="s">
        <v>29</v>
      </c>
      <c r="B8">
        <v>7121817</v>
      </c>
      <c r="C8" t="s">
        <v>30</v>
      </c>
      <c r="D8">
        <v>33.9</v>
      </c>
      <c r="E8" s="1">
        <v>43087</v>
      </c>
      <c r="F8">
        <v>35.299999999999997</v>
      </c>
      <c r="G8">
        <v>2.0253000000000001</v>
      </c>
      <c r="H8">
        <v>44.4</v>
      </c>
      <c r="I8">
        <v>6.9</v>
      </c>
      <c r="J8">
        <v>93.1</v>
      </c>
      <c r="K8">
        <v>0.13919999999999999</v>
      </c>
      <c r="L8">
        <v>1.8861000000000001</v>
      </c>
      <c r="M8" s="2">
        <v>38.33</v>
      </c>
      <c r="N8" s="2">
        <v>35.9</v>
      </c>
      <c r="O8" t="s">
        <v>31</v>
      </c>
      <c r="P8" t="s">
        <v>34</v>
      </c>
    </row>
    <row r="9" spans="1:29">
      <c r="A9" t="s">
        <v>29</v>
      </c>
      <c r="B9">
        <v>8021218</v>
      </c>
      <c r="C9" t="s">
        <v>33</v>
      </c>
      <c r="D9">
        <v>34.299999999999997</v>
      </c>
      <c r="E9" s="1">
        <v>43143</v>
      </c>
      <c r="F9">
        <v>36</v>
      </c>
      <c r="G9">
        <v>2.3616000000000001</v>
      </c>
      <c r="H9">
        <v>46.3</v>
      </c>
      <c r="I9">
        <v>6.2</v>
      </c>
      <c r="J9">
        <v>93.8</v>
      </c>
      <c r="K9">
        <v>0.1474</v>
      </c>
      <c r="L9">
        <v>2.2141999999999999</v>
      </c>
      <c r="M9" s="2">
        <v>36.729999999999997</v>
      </c>
      <c r="N9" s="2">
        <v>35.299999999999997</v>
      </c>
      <c r="O9" t="s">
        <v>31</v>
      </c>
      <c r="P9" t="s">
        <v>32</v>
      </c>
    </row>
    <row r="10" spans="1:29">
      <c r="A10" t="s">
        <v>29</v>
      </c>
      <c r="B10">
        <v>9021218</v>
      </c>
      <c r="C10" t="s">
        <v>33</v>
      </c>
      <c r="D10">
        <v>34.299999999999997</v>
      </c>
      <c r="E10" s="1">
        <v>43143</v>
      </c>
      <c r="F10">
        <v>36</v>
      </c>
      <c r="G10">
        <v>2.2902999999999998</v>
      </c>
      <c r="H10">
        <v>45.5</v>
      </c>
      <c r="I10">
        <v>4.9000000000000004</v>
      </c>
      <c r="J10">
        <v>95.1</v>
      </c>
      <c r="K10">
        <v>0.1125</v>
      </c>
      <c r="L10">
        <v>2.1778</v>
      </c>
      <c r="M10" s="2">
        <v>36.869999999999997</v>
      </c>
      <c r="N10" s="2">
        <v>35.44</v>
      </c>
      <c r="O10" t="s">
        <v>31</v>
      </c>
      <c r="P10" t="s">
        <v>34</v>
      </c>
    </row>
    <row r="11" spans="1:29">
      <c r="A11" s="3"/>
      <c r="B11">
        <v>10030618</v>
      </c>
      <c r="C11" t="s">
        <v>30</v>
      </c>
      <c r="D11">
        <v>34.299999999999997</v>
      </c>
      <c r="E11" s="4">
        <v>43165</v>
      </c>
      <c r="F11">
        <v>36</v>
      </c>
      <c r="G11">
        <v>2.3071999999999999</v>
      </c>
      <c r="H11">
        <v>46</v>
      </c>
      <c r="I11">
        <v>11.6</v>
      </c>
      <c r="J11">
        <v>88.4</v>
      </c>
      <c r="K11">
        <v>0.26740000000000003</v>
      </c>
      <c r="L11">
        <v>2.0398000000000001</v>
      </c>
      <c r="M11" s="2">
        <v>37.44</v>
      </c>
      <c r="N11" s="2">
        <v>35.159999999999997</v>
      </c>
      <c r="O11" t="s">
        <v>31</v>
      </c>
      <c r="P11" t="s">
        <v>32</v>
      </c>
    </row>
    <row r="12" spans="1:29">
      <c r="A12" t="s">
        <v>29</v>
      </c>
      <c r="B12">
        <v>11030618</v>
      </c>
      <c r="C12" t="s">
        <v>33</v>
      </c>
      <c r="D12">
        <v>34.299999999999997</v>
      </c>
      <c r="E12" s="1">
        <v>43165</v>
      </c>
      <c r="F12">
        <v>36</v>
      </c>
      <c r="G12">
        <v>2.2993999999999999</v>
      </c>
      <c r="H12">
        <v>46.5</v>
      </c>
      <c r="I12">
        <v>6.1</v>
      </c>
      <c r="J12">
        <v>93.9</v>
      </c>
      <c r="K12">
        <v>0.1409</v>
      </c>
      <c r="L12">
        <v>2.1583999999999999</v>
      </c>
      <c r="M12" s="2">
        <v>37.01</v>
      </c>
      <c r="N12" s="2">
        <v>35.159999999999997</v>
      </c>
      <c r="O12" t="s">
        <v>31</v>
      </c>
      <c r="P12" t="s">
        <v>34</v>
      </c>
    </row>
    <row r="13" spans="1:29">
      <c r="A13" t="s">
        <v>29</v>
      </c>
      <c r="B13">
        <v>12032118</v>
      </c>
      <c r="C13" t="s">
        <v>30</v>
      </c>
      <c r="D13">
        <v>30.3</v>
      </c>
      <c r="E13" s="1">
        <v>43180</v>
      </c>
      <c r="F13">
        <v>35.9</v>
      </c>
      <c r="G13">
        <v>2.2789999999999999</v>
      </c>
      <c r="H13">
        <v>45.7</v>
      </c>
      <c r="I13">
        <v>15.3</v>
      </c>
      <c r="J13">
        <v>84.7</v>
      </c>
      <c r="K13">
        <v>0.34810000000000002</v>
      </c>
      <c r="L13">
        <v>1.9309000000000001</v>
      </c>
      <c r="M13" s="2">
        <v>38.869999999999997</v>
      </c>
      <c r="N13" s="2">
        <v>34.590000000000003</v>
      </c>
      <c r="O13" t="s">
        <v>31</v>
      </c>
      <c r="P13" t="s">
        <v>36</v>
      </c>
    </row>
    <row r="14" spans="1:29">
      <c r="A14" t="s">
        <v>29</v>
      </c>
      <c r="B14">
        <v>13032118</v>
      </c>
      <c r="C14" t="s">
        <v>33</v>
      </c>
      <c r="D14">
        <v>30.3</v>
      </c>
      <c r="E14" s="1">
        <v>43180</v>
      </c>
      <c r="F14">
        <v>35.9</v>
      </c>
      <c r="G14">
        <v>2.5007000000000001</v>
      </c>
      <c r="H14">
        <v>46</v>
      </c>
      <c r="I14">
        <v>16.2</v>
      </c>
      <c r="J14">
        <v>83.8</v>
      </c>
      <c r="K14">
        <v>0.40439999999999998</v>
      </c>
      <c r="L14">
        <v>2.0962000000000001</v>
      </c>
      <c r="M14" s="2">
        <v>40.869999999999997</v>
      </c>
      <c r="N14" s="2">
        <v>34.590000000000003</v>
      </c>
      <c r="O14" t="s">
        <v>31</v>
      </c>
      <c r="P14" t="s">
        <v>37</v>
      </c>
    </row>
    <row r="15" spans="1:29">
      <c r="A15" t="s">
        <v>29</v>
      </c>
      <c r="B15">
        <v>15041918</v>
      </c>
      <c r="C15" t="s">
        <v>30</v>
      </c>
      <c r="D15">
        <v>32.4</v>
      </c>
      <c r="E15" s="1">
        <v>43209</v>
      </c>
      <c r="F15">
        <v>34.9</v>
      </c>
      <c r="G15">
        <v>1.9623999999999999</v>
      </c>
      <c r="H15">
        <v>42.4</v>
      </c>
      <c r="I15">
        <v>10</v>
      </c>
      <c r="J15">
        <v>90</v>
      </c>
      <c r="K15">
        <v>0.1956</v>
      </c>
      <c r="L15">
        <v>1.7667999999999999</v>
      </c>
      <c r="M15" s="2">
        <v>35.11</v>
      </c>
      <c r="N15" s="2">
        <v>33.4</v>
      </c>
      <c r="O15" t="s">
        <v>38</v>
      </c>
    </row>
    <row r="16" spans="1:29">
      <c r="A16" t="s">
        <v>29</v>
      </c>
      <c r="B16">
        <v>16041918</v>
      </c>
      <c r="C16" t="s">
        <v>30</v>
      </c>
      <c r="D16">
        <v>30.3</v>
      </c>
      <c r="E16" s="1">
        <v>43209</v>
      </c>
      <c r="F16">
        <v>36.700000000000003</v>
      </c>
      <c r="G16">
        <v>2.3056000000000001</v>
      </c>
      <c r="H16">
        <v>42.7</v>
      </c>
      <c r="I16">
        <v>19.7</v>
      </c>
      <c r="J16">
        <v>80.3</v>
      </c>
      <c r="K16">
        <v>0.45390000000000003</v>
      </c>
      <c r="L16">
        <v>1.8515999999999999</v>
      </c>
      <c r="M16" s="2">
        <v>37.44</v>
      </c>
      <c r="N16" s="2">
        <v>34.869999999999997</v>
      </c>
      <c r="O16" t="s">
        <v>31</v>
      </c>
    </row>
    <row r="17" spans="1:16">
      <c r="A17" t="s">
        <v>29</v>
      </c>
      <c r="B17">
        <v>17042418</v>
      </c>
      <c r="C17" t="s">
        <v>30</v>
      </c>
      <c r="D17">
        <v>34.1</v>
      </c>
      <c r="E17" s="1">
        <v>43214</v>
      </c>
      <c r="F17">
        <v>34.700000000000003</v>
      </c>
      <c r="G17">
        <v>2.1282000000000001</v>
      </c>
      <c r="H17">
        <v>44.9</v>
      </c>
      <c r="I17">
        <v>8.8000000000000007</v>
      </c>
      <c r="J17">
        <v>91.2</v>
      </c>
      <c r="K17">
        <v>0.188</v>
      </c>
      <c r="L17">
        <v>1.9401999999999999</v>
      </c>
      <c r="M17" s="2"/>
      <c r="N17" s="2">
        <v>34.24</v>
      </c>
      <c r="O17" t="s">
        <v>31</v>
      </c>
    </row>
    <row r="18" spans="1:16">
      <c r="A18" t="s">
        <v>29</v>
      </c>
      <c r="B18">
        <v>18042418</v>
      </c>
      <c r="C18" t="s">
        <v>33</v>
      </c>
      <c r="D18">
        <v>30.1</v>
      </c>
      <c r="E18" s="1">
        <v>43214</v>
      </c>
      <c r="F18">
        <v>34.299999999999997</v>
      </c>
      <c r="G18">
        <v>2.1981999999999999</v>
      </c>
      <c r="H18">
        <v>43.4</v>
      </c>
      <c r="I18">
        <v>11.7</v>
      </c>
      <c r="J18">
        <v>88.3</v>
      </c>
      <c r="K18">
        <v>0.25740000000000002</v>
      </c>
      <c r="L18">
        <v>1.9408000000000001</v>
      </c>
      <c r="M18" s="2">
        <v>43.81</v>
      </c>
      <c r="N18" s="2">
        <v>33.81</v>
      </c>
      <c r="O18" t="s">
        <v>31</v>
      </c>
    </row>
    <row r="19" spans="1:16">
      <c r="A19" t="s">
        <v>29</v>
      </c>
      <c r="B19">
        <v>19052118</v>
      </c>
      <c r="C19" t="s">
        <v>30</v>
      </c>
      <c r="D19">
        <v>33.6</v>
      </c>
      <c r="E19" s="1">
        <v>43241</v>
      </c>
      <c r="F19">
        <v>35.9</v>
      </c>
      <c r="G19">
        <v>2.1879</v>
      </c>
      <c r="H19">
        <v>44.2</v>
      </c>
      <c r="I19">
        <v>9.9</v>
      </c>
      <c r="J19">
        <v>90.1</v>
      </c>
      <c r="K19">
        <v>0.216</v>
      </c>
      <c r="L19">
        <v>1.9719</v>
      </c>
      <c r="M19" s="2">
        <v>36.89</v>
      </c>
      <c r="N19" s="2">
        <v>34.6</v>
      </c>
      <c r="O19" t="s">
        <v>31</v>
      </c>
      <c r="P19" t="s">
        <v>32</v>
      </c>
    </row>
    <row r="20" spans="1:16">
      <c r="A20" t="s">
        <v>29</v>
      </c>
      <c r="B20">
        <v>20052118</v>
      </c>
      <c r="C20" t="s">
        <v>30</v>
      </c>
      <c r="D20">
        <v>33.6</v>
      </c>
      <c r="E20" s="1">
        <v>43241</v>
      </c>
      <c r="F20">
        <v>35.9</v>
      </c>
      <c r="G20">
        <v>2.3683000000000001</v>
      </c>
      <c r="H20">
        <v>44</v>
      </c>
      <c r="I20">
        <v>13.8</v>
      </c>
      <c r="J20">
        <v>86.2</v>
      </c>
      <c r="K20">
        <v>0.32629999999999998</v>
      </c>
      <c r="L20">
        <v>2.0419999999999998</v>
      </c>
      <c r="M20" s="2">
        <v>36.74</v>
      </c>
      <c r="N20" s="2">
        <v>34.6</v>
      </c>
      <c r="O20" t="s">
        <v>31</v>
      </c>
      <c r="P20" t="s">
        <v>34</v>
      </c>
    </row>
    <row r="21" spans="1:16">
      <c r="A21" s="3"/>
      <c r="B21">
        <v>21052318</v>
      </c>
      <c r="C21" t="s">
        <v>33</v>
      </c>
      <c r="D21">
        <v>33.6</v>
      </c>
      <c r="E21" s="4">
        <v>43243</v>
      </c>
      <c r="F21">
        <v>34.299999999999997</v>
      </c>
      <c r="G21">
        <v>2.5186999999999999</v>
      </c>
      <c r="H21">
        <v>46.5</v>
      </c>
      <c r="I21">
        <v>3.6</v>
      </c>
      <c r="J21">
        <v>96.4</v>
      </c>
      <c r="K21">
        <v>9.11E-2</v>
      </c>
      <c r="L21">
        <v>2.4276</v>
      </c>
      <c r="M21" s="2">
        <v>36.03</v>
      </c>
      <c r="N21" s="2">
        <v>33.6</v>
      </c>
      <c r="O21" t="s">
        <v>31</v>
      </c>
    </row>
    <row r="22" spans="1:16">
      <c r="A22" s="3"/>
      <c r="B22">
        <v>22052318</v>
      </c>
      <c r="C22" t="s">
        <v>33</v>
      </c>
      <c r="D22">
        <v>33.700000000000003</v>
      </c>
      <c r="E22" s="4">
        <v>43243</v>
      </c>
      <c r="F22">
        <v>34.4</v>
      </c>
      <c r="G22">
        <v>2.1088</v>
      </c>
      <c r="H22">
        <v>45.1</v>
      </c>
      <c r="I22">
        <v>8</v>
      </c>
      <c r="J22">
        <v>92</v>
      </c>
      <c r="K22">
        <v>0.16769999999999999</v>
      </c>
      <c r="L22">
        <v>1.9411</v>
      </c>
      <c r="M22" s="2">
        <v>35.99</v>
      </c>
      <c r="N22" s="2">
        <v>34.409999999999997</v>
      </c>
      <c r="O22" t="s">
        <v>31</v>
      </c>
    </row>
    <row r="23" spans="1:16">
      <c r="A23" t="s">
        <v>29</v>
      </c>
      <c r="B23">
        <v>23061118</v>
      </c>
      <c r="C23" t="s">
        <v>33</v>
      </c>
      <c r="D23">
        <v>32.299999999999997</v>
      </c>
      <c r="E23" s="1">
        <v>43262</v>
      </c>
      <c r="F23">
        <v>34.1</v>
      </c>
      <c r="G23">
        <v>1.6637</v>
      </c>
      <c r="H23">
        <v>39.799999999999997</v>
      </c>
      <c r="I23">
        <v>4.8</v>
      </c>
      <c r="J23">
        <v>95.2</v>
      </c>
      <c r="K23">
        <v>7.9600000000000004E-2</v>
      </c>
      <c r="L23">
        <v>1.5841000000000001</v>
      </c>
      <c r="M23" s="2">
        <v>35.299999999999997</v>
      </c>
      <c r="N23" s="2">
        <v>33.729999999999997</v>
      </c>
      <c r="O23" t="s">
        <v>31</v>
      </c>
      <c r="P23" t="s">
        <v>32</v>
      </c>
    </row>
    <row r="24" spans="1:16">
      <c r="A24" t="s">
        <v>29</v>
      </c>
      <c r="B24">
        <v>24061118</v>
      </c>
      <c r="C24" t="s">
        <v>33</v>
      </c>
      <c r="D24">
        <v>32.299999999999997</v>
      </c>
      <c r="E24" s="1">
        <v>43262</v>
      </c>
      <c r="F24">
        <v>34.1</v>
      </c>
      <c r="G24">
        <v>1.5822000000000001</v>
      </c>
      <c r="H24">
        <v>41</v>
      </c>
      <c r="I24">
        <v>5.2</v>
      </c>
      <c r="J24">
        <v>94.8</v>
      </c>
      <c r="K24">
        <v>8.2400000000000001E-2</v>
      </c>
      <c r="L24">
        <v>1.4998</v>
      </c>
      <c r="M24" s="2">
        <v>35.44</v>
      </c>
      <c r="N24" s="2">
        <v>33.729999999999997</v>
      </c>
      <c r="O24" t="s">
        <v>31</v>
      </c>
      <c r="P24" t="s">
        <v>34</v>
      </c>
    </row>
    <row r="25" spans="1:16">
      <c r="A25" t="s">
        <v>29</v>
      </c>
      <c r="B25">
        <v>25061918</v>
      </c>
      <c r="C25" t="s">
        <v>30</v>
      </c>
      <c r="D25">
        <v>31.9</v>
      </c>
      <c r="E25" s="1">
        <v>43270</v>
      </c>
      <c r="F25">
        <v>33.4</v>
      </c>
      <c r="G25">
        <v>1.6531</v>
      </c>
      <c r="H25">
        <v>40.1</v>
      </c>
      <c r="I25">
        <v>3.6</v>
      </c>
      <c r="J25">
        <v>96.4</v>
      </c>
      <c r="K25">
        <v>5.8999999999999997E-2</v>
      </c>
      <c r="L25">
        <v>1.5941000000000001</v>
      </c>
      <c r="M25" s="2"/>
      <c r="N25" s="2">
        <v>33.33</v>
      </c>
      <c r="O25" t="s">
        <v>31</v>
      </c>
      <c r="P25" t="s">
        <v>36</v>
      </c>
    </row>
    <row r="26" spans="1:16">
      <c r="A26" s="3"/>
      <c r="B26">
        <v>26061918</v>
      </c>
      <c r="C26" t="s">
        <v>30</v>
      </c>
      <c r="D26">
        <v>31.9</v>
      </c>
      <c r="E26" s="4">
        <v>43270</v>
      </c>
      <c r="F26">
        <v>33.4</v>
      </c>
      <c r="G26">
        <v>1.7545999999999999</v>
      </c>
      <c r="H26">
        <v>41.1</v>
      </c>
      <c r="I26">
        <v>4.5999999999999996</v>
      </c>
      <c r="J26">
        <v>95.4</v>
      </c>
      <c r="K26">
        <v>8.0799999999999997E-2</v>
      </c>
      <c r="L26">
        <v>1.6738</v>
      </c>
      <c r="M26" s="2"/>
      <c r="N26" s="2">
        <v>33.33</v>
      </c>
      <c r="O26" t="s">
        <v>31</v>
      </c>
      <c r="P26" t="s">
        <v>37</v>
      </c>
    </row>
    <row r="27" spans="1:16">
      <c r="A27" t="s">
        <v>29</v>
      </c>
      <c r="B27">
        <v>27061918</v>
      </c>
      <c r="C27" t="s">
        <v>30</v>
      </c>
      <c r="D27">
        <v>30.6</v>
      </c>
      <c r="E27" s="1">
        <v>43299</v>
      </c>
      <c r="F27">
        <v>36</v>
      </c>
      <c r="G27">
        <v>1.887</v>
      </c>
      <c r="H27">
        <v>40.9</v>
      </c>
      <c r="I27">
        <v>12</v>
      </c>
      <c r="J27">
        <v>88</v>
      </c>
      <c r="K27">
        <v>0.22620000000000001</v>
      </c>
      <c r="L27">
        <v>1.6609</v>
      </c>
      <c r="M27" s="2">
        <v>36.03</v>
      </c>
      <c r="N27" s="2">
        <v>34.74</v>
      </c>
      <c r="O27" t="s">
        <v>31</v>
      </c>
    </row>
    <row r="28" spans="1:16">
      <c r="A28" t="s">
        <v>29</v>
      </c>
      <c r="B28">
        <v>27062218</v>
      </c>
      <c r="C28" t="s">
        <v>30</v>
      </c>
      <c r="D28">
        <v>31.9</v>
      </c>
      <c r="E28" s="1">
        <v>43273</v>
      </c>
      <c r="F28">
        <v>33.9</v>
      </c>
      <c r="G28">
        <v>1.9029</v>
      </c>
      <c r="H28">
        <v>41</v>
      </c>
      <c r="I28">
        <v>9</v>
      </c>
      <c r="J28">
        <v>91</v>
      </c>
      <c r="K28">
        <v>0.1704</v>
      </c>
      <c r="L28">
        <v>1.7324999999999999</v>
      </c>
      <c r="M28" s="2"/>
      <c r="N28" s="2">
        <v>33.33</v>
      </c>
      <c r="O28" t="s">
        <v>31</v>
      </c>
      <c r="P28" t="s">
        <v>39</v>
      </c>
    </row>
    <row r="29" spans="1:16">
      <c r="A29" t="s">
        <v>29</v>
      </c>
      <c r="B29">
        <v>28062718</v>
      </c>
      <c r="C29" t="s">
        <v>33</v>
      </c>
      <c r="D29">
        <v>31.6</v>
      </c>
      <c r="E29" s="1">
        <v>43278</v>
      </c>
      <c r="F29">
        <v>38.700000000000003</v>
      </c>
      <c r="G29">
        <v>2.6223000000000001</v>
      </c>
      <c r="H29">
        <v>46</v>
      </c>
      <c r="I29">
        <v>16.8</v>
      </c>
      <c r="J29">
        <v>83.2</v>
      </c>
      <c r="K29">
        <v>0.4395</v>
      </c>
      <c r="L29">
        <v>2.1827999999999999</v>
      </c>
      <c r="M29" s="2">
        <v>39.46</v>
      </c>
      <c r="N29" s="2">
        <v>37.31</v>
      </c>
      <c r="O29" t="s">
        <v>31</v>
      </c>
    </row>
    <row r="30" spans="1:16">
      <c r="A30" s="3"/>
      <c r="B30">
        <v>29070218</v>
      </c>
      <c r="C30" t="s">
        <v>33</v>
      </c>
      <c r="D30">
        <v>31.1</v>
      </c>
      <c r="E30" s="4">
        <v>43293</v>
      </c>
      <c r="F30">
        <v>34</v>
      </c>
      <c r="G30">
        <v>2.1793999999999998</v>
      </c>
      <c r="H30">
        <v>43.4</v>
      </c>
      <c r="I30">
        <v>13.3</v>
      </c>
      <c r="J30">
        <v>86.7</v>
      </c>
      <c r="K30">
        <v>0.28960000000000002</v>
      </c>
      <c r="L30">
        <v>1.8897999999999999</v>
      </c>
      <c r="M30" s="2">
        <v>36.53</v>
      </c>
      <c r="N30" s="2">
        <v>32.96</v>
      </c>
      <c r="O30" t="s">
        <v>31</v>
      </c>
      <c r="P30" t="s">
        <v>32</v>
      </c>
    </row>
    <row r="31" spans="1:16">
      <c r="A31" t="s">
        <v>29</v>
      </c>
      <c r="B31">
        <v>30070218</v>
      </c>
      <c r="C31" t="s">
        <v>30</v>
      </c>
      <c r="D31">
        <v>31.1</v>
      </c>
      <c r="E31" s="1">
        <v>43283</v>
      </c>
      <c r="F31">
        <v>32.6</v>
      </c>
      <c r="G31">
        <v>1.8159000000000001</v>
      </c>
      <c r="H31">
        <v>41.3</v>
      </c>
      <c r="I31">
        <v>10.4</v>
      </c>
      <c r="J31">
        <v>89.6</v>
      </c>
      <c r="K31">
        <v>0.18940000000000001</v>
      </c>
      <c r="L31">
        <v>1.6265000000000001</v>
      </c>
      <c r="M31" s="2">
        <v>36.39</v>
      </c>
      <c r="N31" s="2">
        <v>32.96</v>
      </c>
      <c r="O31" t="s">
        <v>31</v>
      </c>
      <c r="P31" t="s">
        <v>34</v>
      </c>
    </row>
    <row r="32" spans="1:16">
      <c r="A32" t="s">
        <v>29</v>
      </c>
      <c r="B32">
        <v>31070218</v>
      </c>
      <c r="C32" t="s">
        <v>30</v>
      </c>
      <c r="D32">
        <v>32.299999999999997</v>
      </c>
      <c r="E32" s="1">
        <v>43283</v>
      </c>
      <c r="F32">
        <v>33.4</v>
      </c>
      <c r="G32">
        <v>1.4572000000000001</v>
      </c>
      <c r="H32">
        <v>40.5</v>
      </c>
      <c r="I32">
        <v>2.4</v>
      </c>
      <c r="J32">
        <v>97.6</v>
      </c>
      <c r="K32">
        <v>3.4299999999999997E-2</v>
      </c>
      <c r="L32">
        <v>1.4229000000000001</v>
      </c>
      <c r="M32" s="2">
        <v>37.299999999999997</v>
      </c>
      <c r="N32" s="2">
        <v>34.01</v>
      </c>
      <c r="O32" t="s">
        <v>35</v>
      </c>
    </row>
    <row r="33" spans="1:16">
      <c r="A33" t="s">
        <v>29</v>
      </c>
      <c r="B33">
        <v>32072318</v>
      </c>
      <c r="C33" t="s">
        <v>33</v>
      </c>
      <c r="D33">
        <v>31.6</v>
      </c>
      <c r="E33" s="1">
        <v>43304</v>
      </c>
      <c r="F33">
        <v>34.299999999999997</v>
      </c>
      <c r="G33">
        <v>2.04</v>
      </c>
      <c r="H33">
        <v>43.9</v>
      </c>
      <c r="I33">
        <v>8.8000000000000007</v>
      </c>
      <c r="J33">
        <v>91.2</v>
      </c>
      <c r="K33">
        <v>0.1792</v>
      </c>
      <c r="L33">
        <v>1.8608</v>
      </c>
      <c r="M33" s="2">
        <v>34.74</v>
      </c>
      <c r="N33" s="2">
        <v>33.31</v>
      </c>
      <c r="O33" t="s">
        <v>38</v>
      </c>
      <c r="P33" t="s">
        <v>32</v>
      </c>
    </row>
    <row r="34" spans="1:16">
      <c r="A34" t="s">
        <v>29</v>
      </c>
      <c r="B34">
        <v>33072318</v>
      </c>
      <c r="C34" t="s">
        <v>33</v>
      </c>
      <c r="D34">
        <v>31.6</v>
      </c>
      <c r="E34" s="1">
        <v>43304</v>
      </c>
      <c r="F34">
        <v>34.299999999999997</v>
      </c>
      <c r="G34">
        <v>2.2086999999999999</v>
      </c>
      <c r="H34">
        <v>44</v>
      </c>
      <c r="I34">
        <v>12.2</v>
      </c>
      <c r="J34">
        <v>87.8</v>
      </c>
      <c r="K34">
        <v>0.27029999999999998</v>
      </c>
      <c r="L34">
        <v>1.9383999999999999</v>
      </c>
      <c r="M34" s="2">
        <v>35.03</v>
      </c>
      <c r="N34" s="2">
        <v>33.74</v>
      </c>
      <c r="O34" t="s">
        <v>38</v>
      </c>
      <c r="P34" t="s">
        <v>34</v>
      </c>
    </row>
    <row r="35" spans="1:16">
      <c r="A35" t="s">
        <v>29</v>
      </c>
      <c r="B35">
        <v>34080318</v>
      </c>
      <c r="C35" t="s">
        <v>30</v>
      </c>
      <c r="D35">
        <v>30.6</v>
      </c>
      <c r="E35" s="1">
        <v>43315</v>
      </c>
      <c r="F35">
        <v>33.4</v>
      </c>
      <c r="G35">
        <v>1.8480000000000001</v>
      </c>
      <c r="H35">
        <v>41.9</v>
      </c>
      <c r="I35">
        <v>9.8000000000000007</v>
      </c>
      <c r="J35">
        <v>90.2</v>
      </c>
      <c r="K35">
        <v>0.18149999999999999</v>
      </c>
      <c r="L35">
        <v>1.6665000000000001</v>
      </c>
      <c r="M35" s="2">
        <v>36.17</v>
      </c>
      <c r="N35" s="2">
        <v>33.46</v>
      </c>
      <c r="O35" t="s">
        <v>35</v>
      </c>
      <c r="P35" t="s">
        <v>32</v>
      </c>
    </row>
    <row r="36" spans="1:16">
      <c r="A36" t="s">
        <v>29</v>
      </c>
      <c r="B36">
        <v>35080318</v>
      </c>
      <c r="C36" t="s">
        <v>30</v>
      </c>
      <c r="D36">
        <v>30.6</v>
      </c>
      <c r="E36" s="1">
        <v>43315</v>
      </c>
      <c r="F36">
        <v>33.4</v>
      </c>
      <c r="G36">
        <v>1.4896</v>
      </c>
      <c r="H36">
        <v>38.9</v>
      </c>
      <c r="I36">
        <v>10.7</v>
      </c>
      <c r="J36">
        <v>89.3</v>
      </c>
      <c r="K36">
        <v>0.1588</v>
      </c>
      <c r="L36">
        <v>1.3309</v>
      </c>
      <c r="M36" s="2">
        <v>36.17</v>
      </c>
      <c r="N36" s="2">
        <v>34.17</v>
      </c>
      <c r="O36" t="s">
        <v>35</v>
      </c>
      <c r="P36" t="s">
        <v>34</v>
      </c>
    </row>
    <row r="37" spans="1:16">
      <c r="A37" t="s">
        <v>29</v>
      </c>
      <c r="B37">
        <v>36082218</v>
      </c>
      <c r="C37" t="s">
        <v>30</v>
      </c>
      <c r="D37">
        <v>34.9</v>
      </c>
      <c r="E37" s="1">
        <v>43334</v>
      </c>
      <c r="F37">
        <v>35.299999999999997</v>
      </c>
      <c r="G37">
        <v>2.2136999999999998</v>
      </c>
      <c r="H37">
        <v>46</v>
      </c>
      <c r="I37">
        <v>6</v>
      </c>
      <c r="J37">
        <v>94</v>
      </c>
      <c r="K37">
        <v>0.1326</v>
      </c>
      <c r="L37">
        <v>2.0811000000000002</v>
      </c>
      <c r="M37" s="2">
        <v>36.61</v>
      </c>
      <c r="N37" s="2">
        <v>34.9</v>
      </c>
      <c r="O37" t="s">
        <v>31</v>
      </c>
      <c r="P37" t="s">
        <v>32</v>
      </c>
    </row>
    <row r="38" spans="1:16">
      <c r="A38" s="3"/>
      <c r="B38">
        <v>37082218</v>
      </c>
      <c r="C38" t="s">
        <v>33</v>
      </c>
      <c r="D38">
        <v>34.9</v>
      </c>
      <c r="E38" s="4">
        <v>43334</v>
      </c>
      <c r="F38">
        <v>35.799999999999997</v>
      </c>
      <c r="G38">
        <v>2.5156999999999998</v>
      </c>
      <c r="H38">
        <v>47</v>
      </c>
      <c r="I38">
        <v>6.9</v>
      </c>
      <c r="J38">
        <v>93.1</v>
      </c>
      <c r="K38">
        <v>0.1739</v>
      </c>
      <c r="L38">
        <v>2.3418000000000001</v>
      </c>
      <c r="M38" s="2">
        <v>37.04</v>
      </c>
      <c r="N38" s="2">
        <v>35.04</v>
      </c>
      <c r="O38" t="s">
        <v>31</v>
      </c>
      <c r="P38" t="s">
        <v>34</v>
      </c>
    </row>
    <row r="39" spans="1:16">
      <c r="A39" s="3"/>
      <c r="B39">
        <v>38082318</v>
      </c>
      <c r="C39" t="s">
        <v>30</v>
      </c>
      <c r="D39">
        <v>33.4</v>
      </c>
      <c r="E39" s="4">
        <v>43335</v>
      </c>
      <c r="F39">
        <v>35.799999999999997</v>
      </c>
      <c r="G39">
        <v>2.1537999999999999</v>
      </c>
      <c r="H39">
        <v>43</v>
      </c>
      <c r="I39">
        <v>12.8</v>
      </c>
      <c r="J39">
        <v>87.2</v>
      </c>
      <c r="K39">
        <v>0.27550000000000002</v>
      </c>
      <c r="L39">
        <v>1.8783000000000001</v>
      </c>
      <c r="M39" s="2">
        <v>38.4</v>
      </c>
      <c r="N39" s="2">
        <v>33.83</v>
      </c>
      <c r="O39" t="s">
        <v>35</v>
      </c>
    </row>
    <row r="40" spans="1:16">
      <c r="A40" t="s">
        <v>29</v>
      </c>
      <c r="B40">
        <v>39082418</v>
      </c>
      <c r="C40" t="s">
        <v>33</v>
      </c>
      <c r="D40">
        <v>34.700000000000003</v>
      </c>
      <c r="E40" s="1">
        <v>43336</v>
      </c>
      <c r="F40">
        <v>35.799999999999997</v>
      </c>
      <c r="G40">
        <v>2.1844000000000001</v>
      </c>
      <c r="H40">
        <v>43.5</v>
      </c>
      <c r="I40">
        <v>8.8000000000000007</v>
      </c>
      <c r="J40">
        <v>91.2</v>
      </c>
      <c r="K40">
        <v>0.193</v>
      </c>
      <c r="L40">
        <v>1.9914000000000001</v>
      </c>
      <c r="M40" s="2">
        <v>36.99</v>
      </c>
      <c r="N40" s="2">
        <v>35.56</v>
      </c>
      <c r="O40" t="s">
        <v>31</v>
      </c>
    </row>
    <row r="41" spans="1:16">
      <c r="A41" t="s">
        <v>29</v>
      </c>
      <c r="B41">
        <v>4082318</v>
      </c>
      <c r="C41" t="s">
        <v>30</v>
      </c>
      <c r="D41">
        <v>32.700000000000003</v>
      </c>
      <c r="E41" s="1">
        <v>43336</v>
      </c>
      <c r="F41">
        <v>34.4</v>
      </c>
      <c r="G41">
        <v>1.3769</v>
      </c>
      <c r="H41">
        <v>39.5</v>
      </c>
      <c r="I41">
        <v>8</v>
      </c>
      <c r="J41">
        <v>92</v>
      </c>
      <c r="K41">
        <v>0.1096</v>
      </c>
      <c r="L41">
        <v>1.2673000000000001</v>
      </c>
      <c r="M41" s="2">
        <v>40.270000000000003</v>
      </c>
      <c r="N41" s="2">
        <v>34.270000000000003</v>
      </c>
      <c r="O41" t="s">
        <v>38</v>
      </c>
    </row>
    <row r="42" spans="1:16">
      <c r="A42" t="s">
        <v>29</v>
      </c>
      <c r="B42">
        <v>41090718</v>
      </c>
      <c r="C42" t="s">
        <v>33</v>
      </c>
      <c r="D42">
        <v>33.299999999999997</v>
      </c>
      <c r="E42" s="1">
        <v>43350</v>
      </c>
      <c r="F42">
        <v>35.299999999999997</v>
      </c>
      <c r="G42">
        <v>2.1991999999999998</v>
      </c>
      <c r="H42">
        <v>45</v>
      </c>
      <c r="I42">
        <v>8.8000000000000007</v>
      </c>
      <c r="J42">
        <v>91.2</v>
      </c>
      <c r="K42">
        <v>0.19309999999999999</v>
      </c>
      <c r="L42">
        <v>2.0062000000000002</v>
      </c>
      <c r="M42" s="2">
        <v>35.729999999999997</v>
      </c>
      <c r="N42" s="2">
        <v>34.159999999999997</v>
      </c>
      <c r="O42" t="s">
        <v>35</v>
      </c>
    </row>
    <row r="43" spans="1:16">
      <c r="A43" s="3"/>
      <c r="B43">
        <v>42091218</v>
      </c>
      <c r="C43" t="s">
        <v>30</v>
      </c>
      <c r="D43">
        <v>29.4</v>
      </c>
      <c r="E43" s="1">
        <v>43355</v>
      </c>
      <c r="F43">
        <v>34.1</v>
      </c>
      <c r="G43">
        <v>1.9879</v>
      </c>
      <c r="H43">
        <v>43.1</v>
      </c>
      <c r="I43">
        <v>15.3</v>
      </c>
      <c r="J43">
        <v>84.7</v>
      </c>
      <c r="K43">
        <v>0.30459999999999998</v>
      </c>
      <c r="L43">
        <v>1.6833</v>
      </c>
      <c r="M43" s="2">
        <v>40.4</v>
      </c>
      <c r="N43" s="2">
        <v>33.69</v>
      </c>
      <c r="O43" t="s">
        <v>31</v>
      </c>
      <c r="P43" t="s">
        <v>36</v>
      </c>
    </row>
    <row r="44" spans="1:16">
      <c r="A44" t="s">
        <v>29</v>
      </c>
      <c r="B44">
        <v>43091218</v>
      </c>
      <c r="C44" t="s">
        <v>33</v>
      </c>
      <c r="D44">
        <v>29.4</v>
      </c>
      <c r="E44" s="1">
        <v>43355</v>
      </c>
      <c r="F44">
        <v>34.1</v>
      </c>
      <c r="G44">
        <v>2.0533999999999999</v>
      </c>
      <c r="H44">
        <v>43.2</v>
      </c>
      <c r="I44">
        <v>13.8</v>
      </c>
      <c r="J44">
        <v>86.2</v>
      </c>
      <c r="K44">
        <v>0.2838</v>
      </c>
      <c r="L44">
        <v>1.7695000000000001</v>
      </c>
      <c r="M44" s="2">
        <v>40.4</v>
      </c>
      <c r="N44" s="2">
        <v>33.69</v>
      </c>
      <c r="O44" t="s">
        <v>31</v>
      </c>
      <c r="P44" t="s">
        <v>37</v>
      </c>
    </row>
    <row r="45" spans="1:16">
      <c r="A45" t="s">
        <v>29</v>
      </c>
      <c r="B45">
        <v>44091318</v>
      </c>
      <c r="C45" t="s">
        <v>30</v>
      </c>
      <c r="D45">
        <v>29.4</v>
      </c>
      <c r="E45" s="1">
        <v>43356</v>
      </c>
      <c r="F45">
        <v>34.700000000000003</v>
      </c>
      <c r="G45">
        <v>1.8969</v>
      </c>
      <c r="H45">
        <v>42.7</v>
      </c>
      <c r="I45">
        <v>16.399999999999999</v>
      </c>
      <c r="J45">
        <v>83.6</v>
      </c>
      <c r="K45">
        <v>0.3105</v>
      </c>
      <c r="L45">
        <v>1.5864</v>
      </c>
      <c r="M45" s="2">
        <v>40.97</v>
      </c>
      <c r="N45" s="2">
        <v>33.69</v>
      </c>
      <c r="O45" t="s">
        <v>31</v>
      </c>
      <c r="P45" t="s">
        <v>39</v>
      </c>
    </row>
    <row r="46" spans="1:16">
      <c r="A46" t="s">
        <v>29</v>
      </c>
      <c r="B46">
        <v>45092718</v>
      </c>
      <c r="C46" t="s">
        <v>33</v>
      </c>
      <c r="D46">
        <v>31.4</v>
      </c>
      <c r="E46" s="1">
        <v>43370</v>
      </c>
      <c r="F46">
        <v>37.1</v>
      </c>
      <c r="G46">
        <v>2.5453999999999999</v>
      </c>
      <c r="H46">
        <v>44.8</v>
      </c>
      <c r="I46">
        <v>13.2</v>
      </c>
      <c r="J46">
        <v>86.8</v>
      </c>
      <c r="K46">
        <v>0.33610000000000001</v>
      </c>
      <c r="L46">
        <v>2.2092999999999998</v>
      </c>
      <c r="M46" s="2">
        <v>37.4</v>
      </c>
      <c r="N46" s="2">
        <v>34.11</v>
      </c>
      <c r="O46" t="s">
        <v>35</v>
      </c>
    </row>
    <row r="47" spans="1:16">
      <c r="A47" t="s">
        <v>29</v>
      </c>
      <c r="B47">
        <v>46092018</v>
      </c>
      <c r="C47" t="s">
        <v>33</v>
      </c>
      <c r="D47">
        <v>32.9</v>
      </c>
      <c r="E47" s="1">
        <v>43363</v>
      </c>
      <c r="F47">
        <v>34.5</v>
      </c>
      <c r="G47">
        <v>2.2738999999999998</v>
      </c>
      <c r="H47">
        <v>45.2</v>
      </c>
      <c r="I47">
        <v>6.9</v>
      </c>
      <c r="J47">
        <v>93.1</v>
      </c>
      <c r="K47">
        <v>0.15720000000000001</v>
      </c>
      <c r="L47">
        <v>2.1166999999999998</v>
      </c>
      <c r="M47" s="2">
        <v>35.33</v>
      </c>
      <c r="N47" s="2">
        <v>33.47</v>
      </c>
      <c r="O47" t="s">
        <v>31</v>
      </c>
    </row>
    <row r="48" spans="1:16">
      <c r="A48" t="s">
        <v>29</v>
      </c>
      <c r="B48">
        <v>47092018</v>
      </c>
      <c r="C48" t="s">
        <v>30</v>
      </c>
      <c r="D48">
        <v>34.9</v>
      </c>
      <c r="E48" s="1">
        <v>43363</v>
      </c>
      <c r="F48">
        <v>36.6</v>
      </c>
      <c r="G48">
        <v>2.3653</v>
      </c>
      <c r="H48">
        <v>45.9</v>
      </c>
      <c r="I48">
        <v>9.1999999999999993</v>
      </c>
      <c r="J48">
        <v>90.8</v>
      </c>
      <c r="K48">
        <v>0.21759999999999999</v>
      </c>
      <c r="L48">
        <v>2.1476999999999999</v>
      </c>
      <c r="M48" s="2">
        <v>36.76</v>
      </c>
      <c r="N48" s="2">
        <v>35.33</v>
      </c>
      <c r="O48" t="s">
        <v>31</v>
      </c>
    </row>
    <row r="49" spans="1:17">
      <c r="A49" t="s">
        <v>29</v>
      </c>
      <c r="B49">
        <v>48092018</v>
      </c>
      <c r="C49" t="s">
        <v>30</v>
      </c>
      <c r="D49">
        <v>28.3</v>
      </c>
      <c r="E49" s="1">
        <v>43363</v>
      </c>
      <c r="F49">
        <v>33.6</v>
      </c>
      <c r="G49">
        <v>1.9758</v>
      </c>
      <c r="H49">
        <v>42.4</v>
      </c>
      <c r="I49">
        <v>13.5</v>
      </c>
      <c r="J49">
        <v>86.5</v>
      </c>
      <c r="K49">
        <v>0.26590000000000003</v>
      </c>
      <c r="L49">
        <v>1.7099</v>
      </c>
      <c r="M49" s="2">
        <v>38.729999999999997</v>
      </c>
      <c r="N49" s="2">
        <v>32.729999999999997</v>
      </c>
      <c r="O49" t="s">
        <v>31</v>
      </c>
    </row>
    <row r="50" spans="1:17">
      <c r="A50" t="s">
        <v>29</v>
      </c>
      <c r="B50">
        <v>49101618</v>
      </c>
      <c r="C50" t="s">
        <v>30</v>
      </c>
      <c r="D50">
        <v>33</v>
      </c>
      <c r="E50" s="1">
        <v>43389</v>
      </c>
      <c r="F50">
        <v>35.299999999999997</v>
      </c>
      <c r="G50">
        <v>1.8940999999999999</v>
      </c>
      <c r="H50">
        <v>43</v>
      </c>
      <c r="I50">
        <v>10.7</v>
      </c>
      <c r="J50">
        <v>89.3</v>
      </c>
      <c r="K50">
        <v>0.20180000000000001</v>
      </c>
      <c r="L50">
        <v>1.6922999999999999</v>
      </c>
      <c r="M50" s="2">
        <v>35.57</v>
      </c>
      <c r="N50" s="2">
        <v>33.71</v>
      </c>
      <c r="O50" t="s">
        <v>35</v>
      </c>
    </row>
    <row r="51" spans="1:17">
      <c r="A51" t="s">
        <v>29</v>
      </c>
      <c r="B51">
        <v>50102518</v>
      </c>
      <c r="C51" t="s">
        <v>33</v>
      </c>
      <c r="D51">
        <v>34.299999999999997</v>
      </c>
      <c r="E51" s="1">
        <v>43398</v>
      </c>
      <c r="F51">
        <v>35.6</v>
      </c>
      <c r="G51">
        <v>2.3206000000000002</v>
      </c>
      <c r="H51">
        <v>47</v>
      </c>
      <c r="I51">
        <v>7.4</v>
      </c>
      <c r="J51">
        <v>92.6</v>
      </c>
      <c r="K51">
        <v>0.17130000000000001</v>
      </c>
      <c r="L51">
        <v>2.1493000000000002</v>
      </c>
      <c r="M51" s="2">
        <v>35.729999999999997</v>
      </c>
      <c r="N51" s="2">
        <v>35.159999999999997</v>
      </c>
      <c r="O51" t="s">
        <v>31</v>
      </c>
    </row>
    <row r="52" spans="1:17">
      <c r="A52" t="s">
        <v>29</v>
      </c>
      <c r="B52">
        <v>51112818</v>
      </c>
      <c r="C52" t="s">
        <v>30</v>
      </c>
      <c r="D52">
        <v>26.9</v>
      </c>
      <c r="E52" s="1">
        <v>43432</v>
      </c>
      <c r="F52">
        <v>34.9</v>
      </c>
      <c r="G52">
        <v>2.4883000000000002</v>
      </c>
      <c r="H52">
        <v>42.5</v>
      </c>
      <c r="I52">
        <v>10</v>
      </c>
      <c r="J52">
        <v>90</v>
      </c>
      <c r="K52">
        <v>0.24970000000000001</v>
      </c>
      <c r="L52">
        <v>2.2385999999999999</v>
      </c>
      <c r="M52" s="2">
        <v>36.76</v>
      </c>
      <c r="N52" s="2">
        <v>33.76</v>
      </c>
      <c r="O52" t="s">
        <v>38</v>
      </c>
    </row>
    <row r="53" spans="1:17">
      <c r="A53" t="s">
        <v>29</v>
      </c>
      <c r="B53">
        <v>52120618</v>
      </c>
      <c r="C53" t="s">
        <v>33</v>
      </c>
      <c r="D53">
        <v>30.86</v>
      </c>
      <c r="E53" s="1">
        <v>43454</v>
      </c>
      <c r="F53">
        <v>35.299999999999997</v>
      </c>
      <c r="G53">
        <v>1.8089</v>
      </c>
      <c r="H53">
        <v>43.2</v>
      </c>
      <c r="I53">
        <v>2.4</v>
      </c>
      <c r="J53">
        <v>97.6</v>
      </c>
      <c r="K53">
        <v>4.2599999999999999E-2</v>
      </c>
      <c r="L53">
        <v>1.7663</v>
      </c>
      <c r="M53" s="2">
        <v>38.43</v>
      </c>
      <c r="N53" s="2">
        <v>34</v>
      </c>
      <c r="O53" t="s">
        <v>31</v>
      </c>
    </row>
    <row r="54" spans="1:17">
      <c r="A54" t="s">
        <v>29</v>
      </c>
      <c r="B54">
        <v>53011019</v>
      </c>
      <c r="C54" t="s">
        <v>30</v>
      </c>
      <c r="D54">
        <v>31</v>
      </c>
      <c r="E54" s="1">
        <v>43483</v>
      </c>
      <c r="F54">
        <v>35.4</v>
      </c>
      <c r="G54">
        <v>1.8884000000000001</v>
      </c>
      <c r="H54">
        <v>43.7</v>
      </c>
      <c r="I54">
        <v>2.6</v>
      </c>
      <c r="J54">
        <v>97.4</v>
      </c>
      <c r="K54">
        <v>4.8899999999999999E-2</v>
      </c>
      <c r="L54">
        <v>1.8394999999999999</v>
      </c>
      <c r="M54" s="2">
        <v>35.86</v>
      </c>
      <c r="N54" s="2">
        <v>34</v>
      </c>
      <c r="O54" t="s">
        <v>31</v>
      </c>
    </row>
    <row r="55" spans="1:17">
      <c r="A55" t="s">
        <v>29</v>
      </c>
      <c r="B55">
        <v>54020819</v>
      </c>
      <c r="C55" t="s">
        <v>30</v>
      </c>
      <c r="D55">
        <v>27.9</v>
      </c>
      <c r="E55" s="1">
        <v>43504</v>
      </c>
      <c r="F55">
        <v>36.299999999999997</v>
      </c>
      <c r="G55">
        <v>2.7311999999999999</v>
      </c>
      <c r="H55">
        <v>46.8</v>
      </c>
      <c r="I55">
        <v>7.6</v>
      </c>
      <c r="J55">
        <v>92.4</v>
      </c>
      <c r="K55">
        <v>0.20730000000000001</v>
      </c>
      <c r="L55">
        <v>2.5238</v>
      </c>
      <c r="M55" s="2">
        <v>37.33</v>
      </c>
      <c r="N55" s="2">
        <v>33.19</v>
      </c>
      <c r="O55" t="s">
        <v>31</v>
      </c>
    </row>
    <row r="56" spans="1:17">
      <c r="A56" t="s">
        <v>29</v>
      </c>
      <c r="B56">
        <v>55022619</v>
      </c>
      <c r="C56" t="s">
        <v>33</v>
      </c>
      <c r="D56">
        <v>34</v>
      </c>
      <c r="E56" s="1">
        <v>43522</v>
      </c>
      <c r="F56">
        <v>35.700000000000003</v>
      </c>
      <c r="G56">
        <v>3.0914000000000001</v>
      </c>
      <c r="H56">
        <v>49</v>
      </c>
      <c r="I56">
        <v>8.5</v>
      </c>
      <c r="J56">
        <v>91.5</v>
      </c>
      <c r="K56">
        <v>0.26300000000000001</v>
      </c>
      <c r="L56">
        <v>2.8285</v>
      </c>
      <c r="M56" s="2">
        <v>35.714285714285715</v>
      </c>
      <c r="N56" s="2">
        <v>34.571428571428569</v>
      </c>
      <c r="O56" t="s">
        <v>31</v>
      </c>
    </row>
    <row r="57" spans="1:17">
      <c r="A57" t="s">
        <v>29</v>
      </c>
      <c r="B57">
        <v>56032919</v>
      </c>
      <c r="C57" t="s">
        <v>30</v>
      </c>
      <c r="D57" s="5">
        <v>32.285714285714285</v>
      </c>
      <c r="E57" s="1">
        <v>43553</v>
      </c>
      <c r="F57">
        <v>36.6</v>
      </c>
      <c r="G57">
        <v>2.6162000000000001</v>
      </c>
      <c r="H57">
        <v>45</v>
      </c>
      <c r="I57">
        <v>9.6</v>
      </c>
      <c r="J57">
        <v>90.4</v>
      </c>
      <c r="K57">
        <v>0.25040000000000001</v>
      </c>
      <c r="L57">
        <v>2.3658000000000001</v>
      </c>
      <c r="M57" s="2">
        <v>39.857142857142854</v>
      </c>
      <c r="N57" s="2">
        <v>32.4</v>
      </c>
      <c r="O57" t="s">
        <v>31</v>
      </c>
      <c r="P57" t="s">
        <v>32</v>
      </c>
    </row>
    <row r="58" spans="1:17">
      <c r="A58" t="s">
        <v>29</v>
      </c>
      <c r="B58">
        <v>57032919</v>
      </c>
      <c r="C58" t="s">
        <v>30</v>
      </c>
      <c r="D58" s="5">
        <v>32.285714285714285</v>
      </c>
      <c r="E58" s="1">
        <v>43553</v>
      </c>
      <c r="F58">
        <v>36.6</v>
      </c>
      <c r="G58">
        <v>2.6625999999999999</v>
      </c>
      <c r="H58">
        <v>45.2</v>
      </c>
      <c r="I58">
        <v>10</v>
      </c>
      <c r="J58">
        <v>90</v>
      </c>
      <c r="K58">
        <v>0.26679999999999998</v>
      </c>
      <c r="L58">
        <v>2.3957999999999999</v>
      </c>
      <c r="M58" s="2">
        <v>39.857142857142854</v>
      </c>
      <c r="N58" s="2">
        <v>32.4</v>
      </c>
      <c r="O58" t="s">
        <v>31</v>
      </c>
      <c r="P58" t="s">
        <v>34</v>
      </c>
    </row>
    <row r="59" spans="1:17">
      <c r="A59" t="s">
        <v>29</v>
      </c>
      <c r="B59">
        <v>58041919</v>
      </c>
      <c r="C59" t="s">
        <v>30</v>
      </c>
      <c r="D59" s="5">
        <v>30.142857142857142</v>
      </c>
      <c r="E59" s="1">
        <v>43574</v>
      </c>
      <c r="F59">
        <v>37.299999999999997</v>
      </c>
      <c r="G59">
        <v>2.6072000000000002</v>
      </c>
      <c r="H59">
        <v>45.2</v>
      </c>
      <c r="I59">
        <v>4.7</v>
      </c>
      <c r="J59">
        <v>95.3</v>
      </c>
      <c r="K59">
        <v>0.1217</v>
      </c>
      <c r="L59">
        <v>2.4855</v>
      </c>
      <c r="M59" s="2">
        <v>37.142857142857146</v>
      </c>
      <c r="N59" s="2">
        <v>34</v>
      </c>
      <c r="O59" t="s">
        <v>31</v>
      </c>
    </row>
    <row r="60" spans="1:17">
      <c r="A60" t="s">
        <v>29</v>
      </c>
      <c r="B60">
        <v>59042419</v>
      </c>
      <c r="C60" t="s">
        <v>30</v>
      </c>
      <c r="D60">
        <v>32.700000000000003</v>
      </c>
      <c r="E60" s="1">
        <v>43580</v>
      </c>
      <c r="F60">
        <v>36</v>
      </c>
      <c r="G60">
        <v>2.7387000000000001</v>
      </c>
      <c r="H60">
        <v>46</v>
      </c>
      <c r="I60">
        <v>11.4</v>
      </c>
      <c r="J60">
        <v>88.6</v>
      </c>
      <c r="K60">
        <v>0.311</v>
      </c>
      <c r="L60">
        <v>2.4277000000000002</v>
      </c>
      <c r="M60" s="2">
        <v>37.285714285714285</v>
      </c>
      <c r="N60" s="2">
        <v>33.4</v>
      </c>
      <c r="O60" t="s">
        <v>31</v>
      </c>
    </row>
    <row r="61" spans="1:17">
      <c r="A61" t="s">
        <v>29</v>
      </c>
      <c r="B61">
        <v>60042419</v>
      </c>
      <c r="C61" t="s">
        <v>30</v>
      </c>
      <c r="D61">
        <v>31</v>
      </c>
      <c r="E61" s="1">
        <v>43580</v>
      </c>
      <c r="F61">
        <v>34.4</v>
      </c>
      <c r="G61">
        <v>1.8441000000000001</v>
      </c>
      <c r="H61">
        <v>41.7</v>
      </c>
      <c r="I61">
        <v>3.5</v>
      </c>
      <c r="J61">
        <v>96.5</v>
      </c>
      <c r="K61">
        <v>6.4799999999999996E-2</v>
      </c>
      <c r="L61">
        <v>1.7791999999999999</v>
      </c>
      <c r="M61" s="2">
        <v>37.857142857142854</v>
      </c>
      <c r="N61" s="2">
        <v>32.1</v>
      </c>
      <c r="O61" t="s">
        <v>35</v>
      </c>
    </row>
    <row r="62" spans="1:17">
      <c r="A62" t="s">
        <v>29</v>
      </c>
      <c r="B62">
        <v>61051619</v>
      </c>
      <c r="C62" t="s">
        <v>33</v>
      </c>
      <c r="D62">
        <v>33.6</v>
      </c>
      <c r="E62" s="1">
        <v>43601</v>
      </c>
      <c r="F62">
        <v>35.46</v>
      </c>
      <c r="G62">
        <v>2.3651</v>
      </c>
      <c r="H62">
        <v>46.2</v>
      </c>
      <c r="I62">
        <v>2.5</v>
      </c>
      <c r="J62">
        <v>97.5</v>
      </c>
      <c r="K62">
        <v>5.8599999999999999E-2</v>
      </c>
      <c r="L62">
        <v>2.3065000000000002</v>
      </c>
      <c r="M62" s="2">
        <v>35.428571428571431</v>
      </c>
      <c r="N62" s="2">
        <v>34.4</v>
      </c>
      <c r="O62" t="s">
        <v>35</v>
      </c>
    </row>
    <row r="63" spans="1:17" s="7" customFormat="1">
      <c r="A63" s="6" t="s">
        <v>29</v>
      </c>
      <c r="B63" s="7">
        <v>63053019</v>
      </c>
      <c r="C63" s="6" t="s">
        <v>33</v>
      </c>
      <c r="D63" s="7">
        <v>34.299999999999997</v>
      </c>
      <c r="E63" s="8">
        <v>43615</v>
      </c>
      <c r="F63" s="7">
        <v>35.700000000000003</v>
      </c>
      <c r="G63" s="7">
        <v>2.6840000000000002</v>
      </c>
      <c r="H63" s="7">
        <v>48.8</v>
      </c>
      <c r="I63" s="7">
        <v>2.1</v>
      </c>
      <c r="J63" s="7">
        <v>97.9</v>
      </c>
      <c r="K63" s="7">
        <v>5.74E-2</v>
      </c>
      <c r="L63" s="7">
        <v>2.6265999999999998</v>
      </c>
      <c r="M63" s="9">
        <v>36.285714285714285</v>
      </c>
      <c r="N63" s="9">
        <v>34.571428571428569</v>
      </c>
      <c r="O63" s="6" t="s">
        <v>31</v>
      </c>
      <c r="P63" s="6"/>
      <c r="Q63" s="6"/>
    </row>
    <row r="64" spans="1:17" s="7" customFormat="1">
      <c r="A64" s="6" t="s">
        <v>29</v>
      </c>
      <c r="B64" s="7">
        <v>65050619</v>
      </c>
      <c r="C64" s="6" t="s">
        <v>30</v>
      </c>
      <c r="D64" s="9">
        <f>26 + 5/7</f>
        <v>26.714285714285715</v>
      </c>
      <c r="E64" s="8">
        <v>43621</v>
      </c>
      <c r="F64" s="10">
        <v>34.6</v>
      </c>
      <c r="G64" s="7">
        <v>2.3041999999999998</v>
      </c>
      <c r="H64" s="7">
        <v>43.4</v>
      </c>
      <c r="I64" s="7">
        <v>9.6</v>
      </c>
      <c r="J64" s="7">
        <v>90.4</v>
      </c>
      <c r="K64" s="7">
        <v>0.22090000000000001</v>
      </c>
      <c r="L64" s="7">
        <v>2.0832999999999999</v>
      </c>
      <c r="M64" s="9">
        <v>37.142857142857146</v>
      </c>
      <c r="N64" s="9">
        <v>33.4</v>
      </c>
      <c r="O64" s="6" t="s">
        <v>38</v>
      </c>
      <c r="P64" s="6"/>
    </row>
    <row r="65" spans="1:16" s="7" customFormat="1">
      <c r="A65" s="6" t="s">
        <v>29</v>
      </c>
      <c r="B65" s="7">
        <v>66061919</v>
      </c>
      <c r="C65" s="6" t="s">
        <v>33</v>
      </c>
      <c r="D65" s="9">
        <f>27+6/7</f>
        <v>27.857142857142858</v>
      </c>
      <c r="E65" s="8">
        <v>43636</v>
      </c>
      <c r="F65" s="9">
        <f>33+5/7</f>
        <v>33.714285714285715</v>
      </c>
      <c r="G65" s="7">
        <v>2.4144000000000001</v>
      </c>
      <c r="H65" s="7">
        <v>44.4</v>
      </c>
      <c r="I65" s="7">
        <v>9.6</v>
      </c>
      <c r="J65" s="7">
        <v>90.4</v>
      </c>
      <c r="K65" s="7">
        <v>0.23180000000000001</v>
      </c>
      <c r="L65" s="7">
        <v>2.1825999999999999</v>
      </c>
      <c r="M65" s="9">
        <v>38.428571428571431</v>
      </c>
      <c r="N65" s="9">
        <v>32.700000000000003</v>
      </c>
      <c r="O65" s="6" t="s">
        <v>31</v>
      </c>
      <c r="P65" s="6"/>
    </row>
    <row r="66" spans="1:16" s="7" customFormat="1">
      <c r="A66" s="6" t="s">
        <v>29</v>
      </c>
      <c r="B66" s="7">
        <v>67062119</v>
      </c>
      <c r="C66" s="6" t="s">
        <v>33</v>
      </c>
      <c r="D66" s="7">
        <v>25</v>
      </c>
      <c r="E66" s="8">
        <v>43637</v>
      </c>
      <c r="F66" s="9">
        <f>36+1/7</f>
        <v>36.142857142857146</v>
      </c>
      <c r="G66" s="7">
        <v>2.8277999999999999</v>
      </c>
      <c r="H66" s="7">
        <v>46.3</v>
      </c>
      <c r="I66" s="7">
        <v>11.4</v>
      </c>
      <c r="J66" s="7">
        <v>88.6</v>
      </c>
      <c r="K66" s="7">
        <v>0.32140000000000002</v>
      </c>
      <c r="L66" s="7">
        <v>2.5064000000000002</v>
      </c>
      <c r="M66" s="9">
        <v>37</v>
      </c>
      <c r="N66" s="9">
        <v>34.4</v>
      </c>
      <c r="O66" s="6" t="s">
        <v>31</v>
      </c>
      <c r="P6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89FF-0051-44B4-87BC-05F6C5195297}">
  <dimension ref="A1:B29"/>
  <sheetViews>
    <sheetView workbookViewId="0">
      <selection activeCell="F18" sqref="F18"/>
    </sheetView>
  </sheetViews>
  <sheetFormatPr defaultRowHeight="15"/>
  <cols>
    <col min="1" max="1" width="22.7109375" customWidth="1"/>
    <col min="2" max="2" width="60.42578125" customWidth="1"/>
  </cols>
  <sheetData>
    <row r="1" spans="1:2">
      <c r="A1" s="11" t="s">
        <v>40</v>
      </c>
      <c r="B1" s="11" t="s">
        <v>41</v>
      </c>
    </row>
    <row r="2" spans="1:2">
      <c r="A2" t="s">
        <v>42</v>
      </c>
      <c r="B2" t="s">
        <v>43</v>
      </c>
    </row>
    <row r="3" spans="1:2">
      <c r="A3" t="s">
        <v>2</v>
      </c>
      <c r="B3" t="s">
        <v>44</v>
      </c>
    </row>
    <row r="4" spans="1:2">
      <c r="A4" t="s">
        <v>3</v>
      </c>
      <c r="B4" t="s">
        <v>45</v>
      </c>
    </row>
    <row r="5" spans="1:2">
      <c r="A5" t="s">
        <v>46</v>
      </c>
      <c r="B5" t="s">
        <v>47</v>
      </c>
    </row>
    <row r="6" spans="1:2">
      <c r="A6" t="s">
        <v>5</v>
      </c>
      <c r="B6" t="s">
        <v>48</v>
      </c>
    </row>
    <row r="7" spans="1:2">
      <c r="A7" t="s">
        <v>6</v>
      </c>
      <c r="B7" t="s">
        <v>49</v>
      </c>
    </row>
    <row r="8" spans="1:2">
      <c r="A8" t="s">
        <v>7</v>
      </c>
      <c r="B8" t="s">
        <v>50</v>
      </c>
    </row>
    <row r="9" spans="1:2">
      <c r="A9" t="s">
        <v>8</v>
      </c>
      <c r="B9" t="s">
        <v>51</v>
      </c>
    </row>
    <row r="10" spans="1:2">
      <c r="A10" t="s">
        <v>9</v>
      </c>
      <c r="B10" t="s">
        <v>52</v>
      </c>
    </row>
    <row r="11" spans="1:2">
      <c r="A11" t="s">
        <v>10</v>
      </c>
      <c r="B11" t="s">
        <v>53</v>
      </c>
    </row>
    <row r="12" spans="1:2">
      <c r="A12" t="s">
        <v>11</v>
      </c>
      <c r="B12" t="s">
        <v>54</v>
      </c>
    </row>
    <row r="13" spans="1:2">
      <c r="A13" t="s">
        <v>12</v>
      </c>
      <c r="B13" t="s">
        <v>55</v>
      </c>
    </row>
    <row r="14" spans="1:2">
      <c r="A14" t="s">
        <v>13</v>
      </c>
      <c r="B14" t="s">
        <v>56</v>
      </c>
    </row>
    <row r="15" spans="1:2">
      <c r="A15" t="s">
        <v>14</v>
      </c>
      <c r="B15" t="s">
        <v>57</v>
      </c>
    </row>
    <row r="16" spans="1:2">
      <c r="A16" t="s">
        <v>15</v>
      </c>
      <c r="B16" t="s">
        <v>58</v>
      </c>
    </row>
    <row r="17" spans="1:2">
      <c r="A17" t="s">
        <v>16</v>
      </c>
      <c r="B17" t="s">
        <v>59</v>
      </c>
    </row>
    <row r="18" spans="1:2">
      <c r="A18" t="s">
        <v>17</v>
      </c>
      <c r="B18" t="s">
        <v>60</v>
      </c>
    </row>
    <row r="19" spans="1:2">
      <c r="A19" t="s">
        <v>18</v>
      </c>
      <c r="B19" t="s">
        <v>61</v>
      </c>
    </row>
    <row r="20" spans="1:2">
      <c r="A20" t="s">
        <v>19</v>
      </c>
      <c r="B20" t="s">
        <v>62</v>
      </c>
    </row>
    <row r="21" spans="1:2">
      <c r="A21" t="s">
        <v>20</v>
      </c>
      <c r="B21" t="s">
        <v>63</v>
      </c>
    </row>
    <row r="22" spans="1:2">
      <c r="A22" t="s">
        <v>21</v>
      </c>
      <c r="B22" t="s">
        <v>64</v>
      </c>
    </row>
    <row r="23" spans="1:2">
      <c r="A23" t="s">
        <v>22</v>
      </c>
      <c r="B23" t="s">
        <v>65</v>
      </c>
    </row>
    <row r="24" spans="1:2">
      <c r="A24" t="s">
        <v>23</v>
      </c>
      <c r="B24" t="s">
        <v>66</v>
      </c>
    </row>
    <row r="25" spans="1:2">
      <c r="A25" t="s">
        <v>24</v>
      </c>
      <c r="B25" t="s">
        <v>67</v>
      </c>
    </row>
    <row r="26" spans="1:2">
      <c r="A26" t="s">
        <v>25</v>
      </c>
      <c r="B26" t="s">
        <v>68</v>
      </c>
    </row>
    <row r="27" spans="1:2">
      <c r="A27" t="s">
        <v>26</v>
      </c>
      <c r="B27" t="s">
        <v>69</v>
      </c>
    </row>
    <row r="28" spans="1:2">
      <c r="A28" t="s">
        <v>27</v>
      </c>
      <c r="B28" t="s">
        <v>70</v>
      </c>
    </row>
    <row r="29" spans="1:2">
      <c r="A29" t="s">
        <v>28</v>
      </c>
      <c r="B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M Nagel</cp:lastModifiedBy>
  <cp:revision/>
  <dcterms:created xsi:type="dcterms:W3CDTF">2023-11-05T19:37:11Z</dcterms:created>
  <dcterms:modified xsi:type="dcterms:W3CDTF">2023-11-06T13:02:13Z</dcterms:modified>
  <cp:category/>
  <cp:contentStatus/>
</cp:coreProperties>
</file>